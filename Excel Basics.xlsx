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W Skill\"/>
    </mc:Choice>
  </mc:AlternateContent>
  <xr:revisionPtr revIDLastSave="0" documentId="8_{9DBC4FE1-F78F-4EF6-9055-0CC65280EA39}" xr6:coauthVersionLast="47" xr6:coauthVersionMax="47" xr10:uidLastSave="{00000000-0000-0000-0000-000000000000}"/>
  <bookViews>
    <workbookView xWindow="-108" yWindow="-108" windowWidth="23256" windowHeight="12456" activeTab="1" xr2:uid="{170383ED-2553-4F29-9A76-40DE470039E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2" l="1" a="1"/>
  <c r="N4" i="2" s="1"/>
  <c r="H2" i="2"/>
  <c r="N2" i="2"/>
  <c r="A19" i="1"/>
  <c r="D8" i="1"/>
  <c r="C4" i="3"/>
  <c r="C5" i="3"/>
  <c r="C6" i="3"/>
  <c r="C7" i="3"/>
  <c r="C8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<sst xmlns="http://schemas.openxmlformats.org/spreadsheetml/2006/main" count="186" uniqueCount="94">
  <si>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</si>
  <si>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</si>
  <si>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</si>
  <si>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</si>
  <si>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</si>
  <si>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</si>
  <si>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</si>
  <si>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</si>
  <si>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</si>
  <si>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</si>
  <si>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</si>
  <si>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</si>
  <si>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</si>
  <si>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</si>
  <si>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</si>
  <si>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</si>
  <si>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</si>
  <si>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</si>
  <si>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</si>
  <si>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</si>
  <si>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</si>
  <si>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</si>
  <si>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</si>
  <si>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</si>
  <si>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</si>
  <si>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</si>
  <si>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</si>
  <si>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</si>
  <si>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</si>
  <si>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</si>
  <si>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</si>
  <si>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</si>
  <si>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</si>
  <si>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</si>
  <si>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</si>
  <si>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</si>
  <si>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</si>
  <si>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</si>
  <si>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</si>
  <si>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</si>
  <si>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</si>
  <si>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</si>
  <si>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</si>
  <si>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</si>
  <si>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</si>
  <si>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</si>
  <si>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</si>
  <si>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</si>
  <si>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</si>
  <si>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</si>
  <si>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</si>
  <si>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</si>
  <si>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</si>
  <si>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</si>
  <si>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</si>
  <si>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</si>
  <si>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</si>
  <si>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</si>
  <si>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</si>
  <si>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</si>
  <si>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</si>
  <si>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</si>
  <si>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</si>
  <si>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</si>
  <si>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</si>
  <si>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</si>
  <si>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Price</t>
  </si>
  <si>
    <t xml:space="preserve">Vehicle </t>
  </si>
  <si>
    <t>Car</t>
  </si>
  <si>
    <t>Auto-Rickshaw</t>
  </si>
  <si>
    <t>Bicycle</t>
  </si>
  <si>
    <t xml:space="preserve">Item </t>
  </si>
  <si>
    <t>Sales</t>
  </si>
  <si>
    <t>Item C</t>
  </si>
  <si>
    <t>Item B</t>
  </si>
  <si>
    <t>Item A</t>
  </si>
  <si>
    <t>Total Sales of Car and Bicycle:</t>
  </si>
  <si>
    <t>To Calculate the Average sales of items priced above 100 but less than 300:</t>
  </si>
  <si>
    <t>Total Sales</t>
  </si>
  <si>
    <t>Student Name</t>
  </si>
  <si>
    <t>Marks</t>
  </si>
  <si>
    <t>Ram</t>
  </si>
  <si>
    <t>Rahul</t>
  </si>
  <si>
    <t>Raju</t>
  </si>
  <si>
    <t>Siya</t>
  </si>
  <si>
    <t>Riya</t>
  </si>
  <si>
    <t>Result</t>
  </si>
  <si>
    <t>write formula to check if the marks in cell B2 are greater than or equal to 40. if yes the result should be "Pass", "Fail".</t>
  </si>
  <si>
    <t>Answer:</t>
  </si>
  <si>
    <t>Q4. Count how many customer names are recorded</t>
  </si>
  <si>
    <t>Q5. Calculate the Total Sales for each row</t>
  </si>
  <si>
    <t>Q6. Total sales of Notebooks in the North region only</t>
  </si>
  <si>
    <t>Q7. Column chart showing total sales by product</t>
  </si>
  <si>
    <t>Q8. Line chart showing daily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</si>
</sst>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14" fontId="2" fillId="0" borderId="3" xfId="0" applyNumberFormat="1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2" fillId="0" borderId="7" xfId="0" applyFont="1" applyBorder="1" applyAlignment="1">
      <alignment horizontal="right" wrapText="1"/>
    </xf>
    <xf numFmtId="0" fontId="2" fillId="0" borderId="8" xfId="0" applyFont="1" applyBorder="1" applyAlignment="1">
      <alignment wrapText="1"/>
    </xf>
    <xf numFmtId="0" fontId="2" fillId="0" borderId="8" xfId="0" applyFont="1" applyBorder="1" applyAlignment="1">
      <alignment horizontal="right" wrapText="1"/>
    </xf>
    <xf numFmtId="14" fontId="2" fillId="0" borderId="9" xfId="0" applyNumberFormat="1" applyFont="1" applyBorder="1" applyAlignment="1">
      <alignment horizontal="right" wrapText="1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Fill="1" applyAlignment="1"/>
    <xf numFmtId="0" fontId="0" fillId="3" borderId="0" xfId="0" applyFill="1" applyAlignment="1">
      <alignment horizontal="center"/>
    </xf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14">
    <dxf>
      <numFmt numFmtId="0" formatCode="General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21944444444444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621172353455803E-2"/>
          <c:y val="0.13930555555555557"/>
          <c:w val="0.88736351706036742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Sheet2!$H$1</c:f>
              <c:strCache>
                <c:ptCount val="1"/>
                <c:pt idx="0">
                  <c:v>Total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Sheet2!$H$2:$H$51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A5-4F9B-B729-3E67D9D30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916511"/>
        <c:axId val="536917471"/>
      </c:lineChart>
      <c:catAx>
        <c:axId val="53691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917471"/>
        <c:crosses val="autoZero"/>
        <c:auto val="1"/>
        <c:lblAlgn val="ctr"/>
        <c:lblOffset val="100"/>
        <c:noMultiLvlLbl val="0"/>
      </c:catAx>
      <c:valAx>
        <c:axId val="53691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916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Eraser</c:v>
              </c:pt>
              <c:pt idx="1">
                <c:v>Marker</c:v>
              </c:pt>
              <c:pt idx="2">
                <c:v>Notebook</c:v>
              </c:pt>
              <c:pt idx="3">
                <c:v>Pen</c:v>
              </c:pt>
              <c:pt idx="4">
                <c:v>Pencil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9</c:v>
              </c:pt>
              <c:pt idx="2">
                <c:v>13</c:v>
              </c:pt>
              <c:pt idx="3">
                <c:v>10</c:v>
              </c:pt>
              <c:pt idx="4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0-DDAC-47A4-B0AE-B49DD7E9AF21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Eraser</c:v>
              </c:pt>
              <c:pt idx="1">
                <c:v>Marker</c:v>
              </c:pt>
              <c:pt idx="2">
                <c:v>Notebook</c:v>
              </c:pt>
              <c:pt idx="3">
                <c:v>Pen</c:v>
              </c:pt>
              <c:pt idx="4">
                <c:v>Pencil</c:v>
              </c:pt>
            </c:strLit>
          </c:cat>
          <c:val>
            <c:numLit>
              <c:formatCode>General</c:formatCode>
              <c:ptCount val="5"/>
              <c:pt idx="0">
                <c:v>1928</c:v>
              </c:pt>
              <c:pt idx="1">
                <c:v>3650</c:v>
              </c:pt>
              <c:pt idx="2">
                <c:v>7550</c:v>
              </c:pt>
              <c:pt idx="3">
                <c:v>2180</c:v>
              </c:pt>
              <c:pt idx="4">
                <c:v>1235</c:v>
              </c:pt>
            </c:numLit>
          </c:val>
          <c:extLst>
            <c:ext xmlns:c16="http://schemas.microsoft.com/office/drawing/2014/chart" uri="{C3380CC4-5D6E-409C-BE32-E72D297353CC}">
              <c16:uniqueId val="{00000001-DDAC-47A4-B0AE-B49DD7E9A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493311"/>
        <c:axId val="749493791"/>
      </c:barChart>
      <c:catAx>
        <c:axId val="74949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493791"/>
        <c:crosses val="autoZero"/>
        <c:auto val="1"/>
        <c:lblAlgn val="ctr"/>
        <c:lblOffset val="100"/>
        <c:noMultiLvlLbl val="0"/>
      </c:catAx>
      <c:valAx>
        <c:axId val="74949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49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</xdr:colOff>
      <xdr:row>21</xdr:row>
      <xdr:rowOff>11430</xdr:rowOff>
    </xdr:from>
    <xdr:to>
      <xdr:col>15</xdr:col>
      <xdr:colOff>327660</xdr:colOff>
      <xdr:row>35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41F7DC-769A-9870-BE1B-A08B48CA7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68580</xdr:colOff>
      <xdr:row>5</xdr:row>
      <xdr:rowOff>53340</xdr:rowOff>
    </xdr:from>
    <xdr:to>
      <xdr:col>16</xdr:col>
      <xdr:colOff>259080</xdr:colOff>
      <xdr:row>19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2A5656-DE6D-499E-870D-6DC04F0886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AE19B8-EAEE-4E3C-B320-8903F548FA55}" name="Table2" displayName="Table2" ref="A3:B6" totalsRowShown="0">
  <autoFilter ref="A3:B6" xr:uid="{61AE19B8-EAEE-4E3C-B320-8903F548FA55}"/>
  <tableColumns count="2">
    <tableColumn id="1" xr3:uid="{2DE94E70-7817-4C0A-AC44-E4C8B204DA45}" name="Vehicle "/>
    <tableColumn id="2" xr3:uid="{08F054FF-4A67-4AE9-B7B1-B053F326DA01}" name="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AE0009-EE49-4FEC-920D-A792A070116B}" name="Table35" displayName="Table35" ref="A13:C16" totalsRowShown="0">
  <autoFilter ref="A13:C16" xr:uid="{55AE0009-EE49-4FEC-920D-A792A070116B}"/>
  <tableColumns count="3">
    <tableColumn id="1" xr3:uid="{0B556EE7-18AD-4A64-A792-F278E4817820}" name="Item "/>
    <tableColumn id="2" xr3:uid="{D111F88E-17D4-4356-B014-44E727E4F5DE}" name="Price"/>
    <tableColumn id="3" xr3:uid="{E87FC646-64A1-4BCA-82CB-9313C28F84C7}" name="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A18446-8628-4CD1-996B-D631F98DC29F}" name="Table1" displayName="Table1" ref="A1:H51" totalsRowShown="0" headerRowDxfId="3" headerRowBorderDxfId="12" tableBorderDxfId="13" totalsRowBorderDxfId="11">
  <autoFilter ref="A1:H51" xr:uid="{73A18446-8628-4CD1-996B-D631F98DC29F}"/>
  <tableColumns count="8">
    <tableColumn id="1" xr3:uid="{D420351A-BC56-4EC5-A4A7-5E537968B08E}" name="OrderID" dataDxfId="10"/>
    <tableColumn id="2" xr3:uid="{D475B322-4490-457A-A943-DEFCFC40A709}" name="CustomerName" dataDxfId="9"/>
    <tableColumn id="3" xr3:uid="{E7F0BF13-5F9B-42BC-8695-15574B48B063}" name="Region" dataDxfId="8"/>
    <tableColumn id="4" xr3:uid="{C1A76D3D-305D-48C7-86F5-80C7A2111A9C}" name="Product" dataDxfId="7"/>
    <tableColumn id="5" xr3:uid="{0DCE6AC2-8A83-4CD5-8818-19CA8FFF27E3}" name="Quantity" dataDxfId="6"/>
    <tableColumn id="6" xr3:uid="{3AF329F0-0A69-41F2-868F-51746CCCFD6E}" name="UnitPrice" dataDxfId="5"/>
    <tableColumn id="7" xr3:uid="{FF066219-1877-43A6-BAF8-609BD6B839D7}" name="OrderDate" dataDxfId="4"/>
    <tableColumn id="8" xr3:uid="{C0100B82-DBE5-4476-8A06-CB06D44AB0BC}" name="Total Sales" dataDxfId="2">
      <calculatedColumnFormula>(Table1[[#This Row],[Quantity]]*Table1[[#This Row],[UnitPrice]])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063303-81BE-4915-A592-C6401A24199B}" name="Table5" displayName="Table5" ref="A3:C8" totalsRowShown="0">
  <autoFilter ref="A3:C8" xr:uid="{45063303-81BE-4915-A592-C6401A24199B}"/>
  <tableColumns count="3">
    <tableColumn id="1" xr3:uid="{88D8AA76-B09C-4CE6-A57C-DE20B0A74095}" name="Student Name"/>
    <tableColumn id="2" xr3:uid="{9C7FEFA0-7903-471B-9C94-F62D395D677E}" name="Marks" dataDxfId="1"/>
    <tableColumn id="3" xr3:uid="{B6D7B450-F6DF-4405-8FDB-DA0CEA6D095D}" name="Result" dataDxfId="0">
      <calculatedColumnFormula>IF(Table5[[#This Row],[Marks]]&gt;=40,"Pass","Fail")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DE47F-98E0-4E50-9B56-F91C906D1566}">
  <dimension ref="A3:G19"/>
  <sheetViews>
    <sheetView workbookViewId="0">
      <selection activeCell="O16" sqref="O16"/>
    </sheetView>
  </sheetViews>
  <sheetFormatPr defaultRowHeight="14.4" x14ac:dyDescent="0.3"/>
  <cols>
    <col min="1" max="1" width="9.44140625" customWidth="1"/>
  </cols>
  <sheetData>
    <row r="3" spans="1:4" x14ac:dyDescent="0.3">
      <c r="A3" t="s">
        <v>67</v>
      </c>
      <c r="B3" t="s">
        <v>66</v>
      </c>
    </row>
    <row r="4" spans="1:4" x14ac:dyDescent="0.3">
      <c r="A4" t="s">
        <v>68</v>
      </c>
      <c r="B4">
        <v>500000</v>
      </c>
    </row>
    <row r="5" spans="1:4" x14ac:dyDescent="0.3">
      <c r="A5" t="s">
        <v>70</v>
      </c>
      <c r="B5">
        <v>10500</v>
      </c>
    </row>
    <row r="6" spans="1:4" x14ac:dyDescent="0.3">
      <c r="A6" t="s">
        <v>69</v>
      </c>
      <c r="B6">
        <v>25000</v>
      </c>
    </row>
    <row r="8" spans="1:4" x14ac:dyDescent="0.3">
      <c r="A8" s="12" t="s">
        <v>76</v>
      </c>
      <c r="B8" s="12"/>
      <c r="C8" s="12"/>
      <c r="D8" s="13">
        <f>SUM(B4,B5)</f>
        <v>510500</v>
      </c>
    </row>
    <row r="13" spans="1:4" x14ac:dyDescent="0.3">
      <c r="A13" t="s">
        <v>71</v>
      </c>
      <c r="B13" t="s">
        <v>66</v>
      </c>
      <c r="C13" t="s">
        <v>72</v>
      </c>
    </row>
    <row r="14" spans="1:4" x14ac:dyDescent="0.3">
      <c r="A14" t="s">
        <v>75</v>
      </c>
      <c r="B14">
        <v>90</v>
      </c>
      <c r="C14">
        <v>1000</v>
      </c>
    </row>
    <row r="15" spans="1:4" x14ac:dyDescent="0.3">
      <c r="A15" t="s">
        <v>74</v>
      </c>
      <c r="B15">
        <v>150</v>
      </c>
      <c r="C15">
        <v>1200</v>
      </c>
    </row>
    <row r="16" spans="1:4" x14ac:dyDescent="0.3">
      <c r="A16" t="s">
        <v>73</v>
      </c>
      <c r="B16">
        <v>250</v>
      </c>
      <c r="C16">
        <v>1500</v>
      </c>
    </row>
    <row r="18" spans="1:7" x14ac:dyDescent="0.3">
      <c r="A18" s="12" t="s">
        <v>77</v>
      </c>
      <c r="B18" s="12"/>
      <c r="C18" s="12"/>
      <c r="D18" s="12"/>
      <c r="E18" s="12"/>
      <c r="F18" s="12"/>
      <c r="G18" s="12"/>
    </row>
    <row r="19" spans="1:7" x14ac:dyDescent="0.3">
      <c r="A19">
        <f>AVERAGEIFS(C14:C16,B14:B16,"&gt;100",B14:B16,"&lt;300")</f>
        <v>1350</v>
      </c>
    </row>
  </sheetData>
  <mergeCells count="2">
    <mergeCell ref="A8:C8"/>
    <mergeCell ref="A18:G18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B674-086E-4121-ABC9-E0A68D4F7385}">
  <dimension ref="A1:N51"/>
  <sheetViews>
    <sheetView tabSelected="1" workbookViewId="0">
      <selection activeCell="N4" sqref="N4"/>
    </sheetView>
  </sheetViews>
  <sheetFormatPr defaultRowHeight="14.4" x14ac:dyDescent="0.3"/>
  <cols>
    <col min="1" max="1" width="9.44140625" customWidth="1"/>
    <col min="2" max="2" width="16" customWidth="1"/>
    <col min="4" max="4" width="9.5546875" customWidth="1"/>
    <col min="5" max="5" width="10.21875" customWidth="1"/>
    <col min="6" max="6" width="10.5546875" customWidth="1"/>
    <col min="7" max="7" width="11.5546875" customWidth="1"/>
  </cols>
  <sheetData>
    <row r="1" spans="1:14" ht="29.4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6" t="s">
        <v>78</v>
      </c>
    </row>
    <row r="2" spans="1:14" ht="15" thickBot="1" x14ac:dyDescent="0.35">
      <c r="A2" s="3">
        <v>1001</v>
      </c>
      <c r="B2" s="2" t="s">
        <v>7</v>
      </c>
      <c r="C2" s="2" t="s">
        <v>8</v>
      </c>
      <c r="D2" s="2" t="s">
        <v>9</v>
      </c>
      <c r="E2" s="1">
        <v>10</v>
      </c>
      <c r="F2" s="1">
        <v>50</v>
      </c>
      <c r="G2" s="4">
        <v>45296</v>
      </c>
      <c r="H2">
        <f>(Table1[[#This Row],[Quantity]]*Table1[[#This Row],[UnitPrice]])</f>
        <v>500</v>
      </c>
      <c r="I2" s="15" t="s">
        <v>89</v>
      </c>
      <c r="J2" s="15"/>
      <c r="K2" s="15"/>
      <c r="L2" s="15"/>
      <c r="M2" s="15"/>
      <c r="N2" s="16">
        <f>COUNTA(_xlfn.UNIQUE(Table1[CustomerName]))</f>
        <v>50</v>
      </c>
    </row>
    <row r="3" spans="1:14" ht="15" thickBot="1" x14ac:dyDescent="0.35">
      <c r="A3" s="3">
        <v>1002</v>
      </c>
      <c r="B3" s="2" t="s">
        <v>10</v>
      </c>
      <c r="C3" s="2" t="s">
        <v>11</v>
      </c>
      <c r="D3" s="2" t="s">
        <v>12</v>
      </c>
      <c r="E3" s="1">
        <v>20</v>
      </c>
      <c r="F3" s="1">
        <v>10</v>
      </c>
      <c r="G3" s="4">
        <v>45297</v>
      </c>
      <c r="H3">
        <f>(Table1[[#This Row],[Quantity]]*Table1[[#This Row],[UnitPrice]])</f>
        <v>200</v>
      </c>
      <c r="I3" s="15" t="s">
        <v>90</v>
      </c>
      <c r="J3" s="15"/>
      <c r="K3" s="15"/>
      <c r="L3" s="15"/>
      <c r="M3" s="17"/>
      <c r="N3" s="17"/>
    </row>
    <row r="4" spans="1:14" ht="15" thickBot="1" x14ac:dyDescent="0.35">
      <c r="A4" s="3">
        <v>1003</v>
      </c>
      <c r="B4" s="2" t="s">
        <v>13</v>
      </c>
      <c r="C4" s="2" t="s">
        <v>14</v>
      </c>
      <c r="D4" s="2" t="s">
        <v>15</v>
      </c>
      <c r="E4" s="1">
        <v>15</v>
      </c>
      <c r="F4" s="1">
        <v>25</v>
      </c>
      <c r="G4" s="4">
        <v>45298</v>
      </c>
      <c r="H4">
        <f>(Table1[[#This Row],[Quantity]]*Table1[[#This Row],[UnitPrice]])</f>
        <v>375</v>
      </c>
      <c r="I4" s="15" t="s">
        <v>91</v>
      </c>
      <c r="J4" s="15"/>
      <c r="K4" s="15"/>
      <c r="L4" s="15"/>
      <c r="M4" s="15"/>
      <c r="N4" s="16" cm="1">
        <f t="array" ref="N4">SUMPRODUCT((Table1[Region]="North")*(Table1[Product]="Notebook")*(Table1[Quantity]*Table1[UnitPrice]))</f>
        <v>2900</v>
      </c>
    </row>
    <row r="5" spans="1:14" ht="15" thickBot="1" x14ac:dyDescent="0.35">
      <c r="A5" s="3">
        <v>1004</v>
      </c>
      <c r="B5" s="2" t="s">
        <v>16</v>
      </c>
      <c r="C5" s="2" t="s">
        <v>17</v>
      </c>
      <c r="D5" s="2" t="s">
        <v>9</v>
      </c>
      <c r="E5" s="1">
        <v>5</v>
      </c>
      <c r="F5" s="1">
        <v>50</v>
      </c>
      <c r="G5" s="4">
        <v>45299</v>
      </c>
      <c r="H5">
        <f>(Table1[[#This Row],[Quantity]]*Table1[[#This Row],[UnitPrice]])</f>
        <v>250</v>
      </c>
      <c r="I5" s="15" t="s">
        <v>92</v>
      </c>
      <c r="J5" s="15"/>
      <c r="K5" s="15"/>
      <c r="L5" s="15"/>
      <c r="M5" s="15"/>
    </row>
    <row r="6" spans="1:14" ht="15" thickBot="1" x14ac:dyDescent="0.35">
      <c r="A6" s="3">
        <v>1005</v>
      </c>
      <c r="B6" s="2" t="s">
        <v>18</v>
      </c>
      <c r="C6" s="2" t="s">
        <v>8</v>
      </c>
      <c r="D6" s="2" t="s">
        <v>19</v>
      </c>
      <c r="E6" s="1">
        <v>30</v>
      </c>
      <c r="F6" s="1">
        <v>5</v>
      </c>
      <c r="G6" s="4">
        <v>45301</v>
      </c>
      <c r="H6">
        <f>(Table1[[#This Row],[Quantity]]*Table1[[#This Row],[UnitPrice]])</f>
        <v>150</v>
      </c>
    </row>
    <row r="7" spans="1:14" ht="15" thickBot="1" x14ac:dyDescent="0.35">
      <c r="A7" s="3">
        <v>1006</v>
      </c>
      <c r="B7" s="2" t="s">
        <v>20</v>
      </c>
      <c r="C7" s="2" t="s">
        <v>11</v>
      </c>
      <c r="D7" s="2" t="s">
        <v>9</v>
      </c>
      <c r="E7" s="1">
        <v>12</v>
      </c>
      <c r="F7" s="1">
        <v>50</v>
      </c>
      <c r="G7" s="4">
        <v>45302</v>
      </c>
      <c r="H7">
        <f>(Table1[[#This Row],[Quantity]]*Table1[[#This Row],[UnitPrice]])</f>
        <v>600</v>
      </c>
    </row>
    <row r="8" spans="1:14" ht="15" thickBot="1" x14ac:dyDescent="0.35">
      <c r="A8" s="3">
        <v>1007</v>
      </c>
      <c r="B8" s="2" t="s">
        <v>21</v>
      </c>
      <c r="C8" s="2" t="s">
        <v>14</v>
      </c>
      <c r="D8" s="2" t="s">
        <v>22</v>
      </c>
      <c r="E8" s="1">
        <v>25</v>
      </c>
      <c r="F8" s="1">
        <v>8</v>
      </c>
      <c r="G8" s="4">
        <v>45304</v>
      </c>
      <c r="H8">
        <f>(Table1[[#This Row],[Quantity]]*Table1[[#This Row],[UnitPrice]])</f>
        <v>200</v>
      </c>
    </row>
    <row r="9" spans="1:14" ht="15" thickBot="1" x14ac:dyDescent="0.35">
      <c r="A9" s="3">
        <v>1008</v>
      </c>
      <c r="B9" s="2" t="s">
        <v>23</v>
      </c>
      <c r="C9" s="2" t="s">
        <v>17</v>
      </c>
      <c r="D9" s="2" t="s">
        <v>12</v>
      </c>
      <c r="E9" s="1">
        <v>18</v>
      </c>
      <c r="F9" s="1">
        <v>10</v>
      </c>
      <c r="G9" s="4">
        <v>45306</v>
      </c>
      <c r="H9">
        <f>(Table1[[#This Row],[Quantity]]*Table1[[#This Row],[UnitPrice]])</f>
        <v>180</v>
      </c>
    </row>
    <row r="10" spans="1:14" ht="15" thickBot="1" x14ac:dyDescent="0.35">
      <c r="A10" s="3">
        <v>1009</v>
      </c>
      <c r="B10" s="2" t="s">
        <v>24</v>
      </c>
      <c r="C10" s="2" t="s">
        <v>8</v>
      </c>
      <c r="D10" s="2" t="s">
        <v>15</v>
      </c>
      <c r="E10" s="1">
        <v>22</v>
      </c>
      <c r="F10" s="1">
        <v>25</v>
      </c>
      <c r="G10" s="4">
        <v>45308</v>
      </c>
      <c r="H10">
        <f>(Table1[[#This Row],[Quantity]]*Table1[[#This Row],[UnitPrice]])</f>
        <v>550</v>
      </c>
    </row>
    <row r="11" spans="1:14" ht="15" thickBot="1" x14ac:dyDescent="0.35">
      <c r="A11" s="3">
        <v>1010</v>
      </c>
      <c r="B11" s="2" t="s">
        <v>25</v>
      </c>
      <c r="C11" s="2" t="s">
        <v>11</v>
      </c>
      <c r="D11" s="2" t="s">
        <v>9</v>
      </c>
      <c r="E11" s="1">
        <v>8</v>
      </c>
      <c r="F11" s="1">
        <v>50</v>
      </c>
      <c r="G11" s="4">
        <v>45309</v>
      </c>
      <c r="H11">
        <f>(Table1[[#This Row],[Quantity]]*Table1[[#This Row],[UnitPrice]])</f>
        <v>400</v>
      </c>
    </row>
    <row r="12" spans="1:14" ht="15" thickBot="1" x14ac:dyDescent="0.35">
      <c r="A12" s="3">
        <v>1011</v>
      </c>
      <c r="B12" s="2" t="s">
        <v>26</v>
      </c>
      <c r="C12" s="2" t="s">
        <v>14</v>
      </c>
      <c r="D12" s="2" t="s">
        <v>19</v>
      </c>
      <c r="E12" s="1">
        <v>40</v>
      </c>
      <c r="F12" s="1">
        <v>5</v>
      </c>
      <c r="G12" s="4">
        <v>45310</v>
      </c>
      <c r="H12">
        <f>(Table1[[#This Row],[Quantity]]*Table1[[#This Row],[UnitPrice]])</f>
        <v>200</v>
      </c>
    </row>
    <row r="13" spans="1:14" ht="15" thickBot="1" x14ac:dyDescent="0.35">
      <c r="A13" s="3">
        <v>1012</v>
      </c>
      <c r="B13" s="2" t="s">
        <v>27</v>
      </c>
      <c r="C13" s="2" t="s">
        <v>17</v>
      </c>
      <c r="D13" s="2" t="s">
        <v>22</v>
      </c>
      <c r="E13" s="1">
        <v>35</v>
      </c>
      <c r="F13" s="1">
        <v>8</v>
      </c>
      <c r="G13" s="4">
        <v>45311</v>
      </c>
      <c r="H13">
        <f>(Table1[[#This Row],[Quantity]]*Table1[[#This Row],[UnitPrice]])</f>
        <v>280</v>
      </c>
    </row>
    <row r="14" spans="1:14" ht="15" thickBot="1" x14ac:dyDescent="0.35">
      <c r="A14" s="3">
        <v>1013</v>
      </c>
      <c r="B14" s="2" t="s">
        <v>28</v>
      </c>
      <c r="C14" s="2" t="s">
        <v>8</v>
      </c>
      <c r="D14" s="2" t="s">
        <v>9</v>
      </c>
      <c r="E14" s="1">
        <v>14</v>
      </c>
      <c r="F14" s="1">
        <v>50</v>
      </c>
      <c r="G14" s="4">
        <v>45313</v>
      </c>
      <c r="H14">
        <f>(Table1[[#This Row],[Quantity]]*Table1[[#This Row],[UnitPrice]])</f>
        <v>700</v>
      </c>
    </row>
    <row r="15" spans="1:14" ht="15" thickBot="1" x14ac:dyDescent="0.35">
      <c r="A15" s="3">
        <v>1014</v>
      </c>
      <c r="B15" s="2" t="s">
        <v>29</v>
      </c>
      <c r="C15" s="2" t="s">
        <v>11</v>
      </c>
      <c r="D15" s="2" t="s">
        <v>12</v>
      </c>
      <c r="E15" s="1">
        <v>28</v>
      </c>
      <c r="F15" s="1">
        <v>10</v>
      </c>
      <c r="G15" s="4">
        <v>45314</v>
      </c>
      <c r="H15">
        <f>(Table1[[#This Row],[Quantity]]*Table1[[#This Row],[UnitPrice]])</f>
        <v>280</v>
      </c>
    </row>
    <row r="16" spans="1:14" ht="15" thickBot="1" x14ac:dyDescent="0.35">
      <c r="A16" s="3">
        <v>1015</v>
      </c>
      <c r="B16" s="2" t="s">
        <v>30</v>
      </c>
      <c r="C16" s="2" t="s">
        <v>14</v>
      </c>
      <c r="D16" s="2" t="s">
        <v>15</v>
      </c>
      <c r="E16" s="1">
        <v>12</v>
      </c>
      <c r="F16" s="1">
        <v>25</v>
      </c>
      <c r="G16" s="4">
        <v>45315</v>
      </c>
      <c r="H16">
        <f>(Table1[[#This Row],[Quantity]]*Table1[[#This Row],[UnitPrice]])</f>
        <v>300</v>
      </c>
    </row>
    <row r="17" spans="1:12" ht="15" thickBot="1" x14ac:dyDescent="0.35">
      <c r="A17" s="3">
        <v>1016</v>
      </c>
      <c r="B17" s="2" t="s">
        <v>31</v>
      </c>
      <c r="C17" s="2" t="s">
        <v>17</v>
      </c>
      <c r="D17" s="2" t="s">
        <v>19</v>
      </c>
      <c r="E17" s="1">
        <v>25</v>
      </c>
      <c r="F17" s="1">
        <v>5</v>
      </c>
      <c r="G17" s="4">
        <v>45317</v>
      </c>
      <c r="H17">
        <f>(Table1[[#This Row],[Quantity]]*Table1[[#This Row],[UnitPrice]])</f>
        <v>125</v>
      </c>
    </row>
    <row r="18" spans="1:12" ht="15" thickBot="1" x14ac:dyDescent="0.35">
      <c r="A18" s="3">
        <v>1017</v>
      </c>
      <c r="B18" s="2" t="s">
        <v>32</v>
      </c>
      <c r="C18" s="2" t="s">
        <v>8</v>
      </c>
      <c r="D18" s="2" t="s">
        <v>22</v>
      </c>
      <c r="E18" s="1">
        <v>20</v>
      </c>
      <c r="F18" s="1">
        <v>8</v>
      </c>
      <c r="G18" s="4">
        <v>45319</v>
      </c>
      <c r="H18">
        <f>(Table1[[#This Row],[Quantity]]*Table1[[#This Row],[UnitPrice]])</f>
        <v>160</v>
      </c>
    </row>
    <row r="19" spans="1:12" ht="15" thickBot="1" x14ac:dyDescent="0.35">
      <c r="A19" s="3">
        <v>1018</v>
      </c>
      <c r="B19" s="2" t="s">
        <v>33</v>
      </c>
      <c r="C19" s="2" t="s">
        <v>11</v>
      </c>
      <c r="D19" s="2" t="s">
        <v>9</v>
      </c>
      <c r="E19" s="1">
        <v>10</v>
      </c>
      <c r="F19" s="1">
        <v>50</v>
      </c>
      <c r="G19" s="4">
        <v>45320</v>
      </c>
      <c r="H19">
        <f>(Table1[[#This Row],[Quantity]]*Table1[[#This Row],[UnitPrice]])</f>
        <v>500</v>
      </c>
    </row>
    <row r="20" spans="1:12" ht="15" thickBot="1" x14ac:dyDescent="0.35">
      <c r="A20" s="3">
        <v>1019</v>
      </c>
      <c r="B20" s="2" t="s">
        <v>34</v>
      </c>
      <c r="C20" s="2" t="s">
        <v>14</v>
      </c>
      <c r="D20" s="2" t="s">
        <v>12</v>
      </c>
      <c r="E20" s="1">
        <v>15</v>
      </c>
      <c r="F20" s="1">
        <v>10</v>
      </c>
      <c r="G20" s="4">
        <v>45321</v>
      </c>
      <c r="H20">
        <f>(Table1[[#This Row],[Quantity]]*Table1[[#This Row],[UnitPrice]])</f>
        <v>150</v>
      </c>
    </row>
    <row r="21" spans="1:12" ht="15" thickBot="1" x14ac:dyDescent="0.35">
      <c r="A21" s="3">
        <v>1020</v>
      </c>
      <c r="B21" s="2" t="s">
        <v>35</v>
      </c>
      <c r="C21" s="2" t="s">
        <v>17</v>
      </c>
      <c r="D21" s="2" t="s">
        <v>15</v>
      </c>
      <c r="E21" s="1">
        <v>18</v>
      </c>
      <c r="F21" s="1">
        <v>25</v>
      </c>
      <c r="G21" s="4">
        <v>45323</v>
      </c>
      <c r="H21">
        <f>(Table1[[#This Row],[Quantity]]*Table1[[#This Row],[UnitPrice]])</f>
        <v>450</v>
      </c>
      <c r="I21" s="15" t="s">
        <v>93</v>
      </c>
      <c r="J21" s="15"/>
      <c r="K21" s="15"/>
      <c r="L21" s="15"/>
    </row>
    <row r="22" spans="1:12" ht="15" thickBot="1" x14ac:dyDescent="0.35">
      <c r="A22" s="3">
        <v>1021</v>
      </c>
      <c r="B22" s="2" t="s">
        <v>36</v>
      </c>
      <c r="C22" s="2" t="s">
        <v>8</v>
      </c>
      <c r="D22" s="2" t="s">
        <v>9</v>
      </c>
      <c r="E22" s="1">
        <v>9</v>
      </c>
      <c r="F22" s="1">
        <v>50</v>
      </c>
      <c r="G22" s="4">
        <v>45324</v>
      </c>
      <c r="H22">
        <f>(Table1[[#This Row],[Quantity]]*Table1[[#This Row],[UnitPrice]])</f>
        <v>450</v>
      </c>
    </row>
    <row r="23" spans="1:12" ht="15" thickBot="1" x14ac:dyDescent="0.35">
      <c r="A23" s="3">
        <v>1022</v>
      </c>
      <c r="B23" s="2" t="s">
        <v>37</v>
      </c>
      <c r="C23" s="2" t="s">
        <v>11</v>
      </c>
      <c r="D23" s="2" t="s">
        <v>19</v>
      </c>
      <c r="E23" s="1">
        <v>35</v>
      </c>
      <c r="F23" s="1">
        <v>5</v>
      </c>
      <c r="G23" s="4">
        <v>45325</v>
      </c>
      <c r="H23">
        <f>(Table1[[#This Row],[Quantity]]*Table1[[#This Row],[UnitPrice]])</f>
        <v>175</v>
      </c>
    </row>
    <row r="24" spans="1:12" ht="15" thickBot="1" x14ac:dyDescent="0.35">
      <c r="A24" s="3">
        <v>1023</v>
      </c>
      <c r="B24" s="2" t="s">
        <v>38</v>
      </c>
      <c r="C24" s="2" t="s">
        <v>14</v>
      </c>
      <c r="D24" s="2" t="s">
        <v>22</v>
      </c>
      <c r="E24" s="1">
        <v>30</v>
      </c>
      <c r="F24" s="1">
        <v>8</v>
      </c>
      <c r="G24" s="4">
        <v>45326</v>
      </c>
      <c r="H24">
        <f>(Table1[[#This Row],[Quantity]]*Table1[[#This Row],[UnitPrice]])</f>
        <v>240</v>
      </c>
    </row>
    <row r="25" spans="1:12" ht="15" thickBot="1" x14ac:dyDescent="0.35">
      <c r="A25" s="3">
        <v>1024</v>
      </c>
      <c r="B25" s="2" t="s">
        <v>39</v>
      </c>
      <c r="C25" s="2" t="s">
        <v>17</v>
      </c>
      <c r="D25" s="2" t="s">
        <v>9</v>
      </c>
      <c r="E25" s="1">
        <v>11</v>
      </c>
      <c r="F25" s="1">
        <v>50</v>
      </c>
      <c r="G25" s="4">
        <v>45328</v>
      </c>
      <c r="H25">
        <f>(Table1[[#This Row],[Quantity]]*Table1[[#This Row],[UnitPrice]])</f>
        <v>550</v>
      </c>
    </row>
    <row r="26" spans="1:12" ht="15" thickBot="1" x14ac:dyDescent="0.35">
      <c r="A26" s="3">
        <v>1025</v>
      </c>
      <c r="B26" s="2" t="s">
        <v>40</v>
      </c>
      <c r="C26" s="2" t="s">
        <v>8</v>
      </c>
      <c r="D26" s="2" t="s">
        <v>12</v>
      </c>
      <c r="E26" s="1">
        <v>14</v>
      </c>
      <c r="F26" s="1">
        <v>10</v>
      </c>
      <c r="G26" s="4">
        <v>45329</v>
      </c>
      <c r="H26">
        <f>(Table1[[#This Row],[Quantity]]*Table1[[#This Row],[UnitPrice]])</f>
        <v>140</v>
      </c>
    </row>
    <row r="27" spans="1:12" ht="15" thickBot="1" x14ac:dyDescent="0.35">
      <c r="A27" s="3">
        <v>1026</v>
      </c>
      <c r="B27" s="2" t="s">
        <v>41</v>
      </c>
      <c r="C27" s="2" t="s">
        <v>11</v>
      </c>
      <c r="D27" s="2" t="s">
        <v>15</v>
      </c>
      <c r="E27" s="1">
        <v>16</v>
      </c>
      <c r="F27" s="1">
        <v>25</v>
      </c>
      <c r="G27" s="4">
        <v>45330</v>
      </c>
      <c r="H27">
        <f>(Table1[[#This Row],[Quantity]]*Table1[[#This Row],[UnitPrice]])</f>
        <v>400</v>
      </c>
    </row>
    <row r="28" spans="1:12" ht="15" thickBot="1" x14ac:dyDescent="0.35">
      <c r="A28" s="3">
        <v>1027</v>
      </c>
      <c r="B28" s="2" t="s">
        <v>42</v>
      </c>
      <c r="C28" s="2" t="s">
        <v>14</v>
      </c>
      <c r="D28" s="2" t="s">
        <v>19</v>
      </c>
      <c r="E28" s="1">
        <v>22</v>
      </c>
      <c r="F28" s="1">
        <v>5</v>
      </c>
      <c r="G28" s="4">
        <v>45331</v>
      </c>
      <c r="H28">
        <f>(Table1[[#This Row],[Quantity]]*Table1[[#This Row],[UnitPrice]])</f>
        <v>110</v>
      </c>
    </row>
    <row r="29" spans="1:12" ht="15" thickBot="1" x14ac:dyDescent="0.35">
      <c r="A29" s="3">
        <v>1028</v>
      </c>
      <c r="B29" s="2" t="s">
        <v>43</v>
      </c>
      <c r="C29" s="2" t="s">
        <v>17</v>
      </c>
      <c r="D29" s="2" t="s">
        <v>22</v>
      </c>
      <c r="E29" s="1">
        <v>27</v>
      </c>
      <c r="F29" s="1">
        <v>8</v>
      </c>
      <c r="G29" s="4">
        <v>45332</v>
      </c>
      <c r="H29">
        <f>(Table1[[#This Row],[Quantity]]*Table1[[#This Row],[UnitPrice]])</f>
        <v>216</v>
      </c>
    </row>
    <row r="30" spans="1:12" ht="15" thickBot="1" x14ac:dyDescent="0.35">
      <c r="A30" s="3">
        <v>1029</v>
      </c>
      <c r="B30" s="2" t="s">
        <v>44</v>
      </c>
      <c r="C30" s="2" t="s">
        <v>8</v>
      </c>
      <c r="D30" s="2" t="s">
        <v>9</v>
      </c>
      <c r="E30" s="1">
        <v>13</v>
      </c>
      <c r="F30" s="1">
        <v>50</v>
      </c>
      <c r="G30" s="4">
        <v>45334</v>
      </c>
      <c r="H30">
        <f>(Table1[[#This Row],[Quantity]]*Table1[[#This Row],[UnitPrice]])</f>
        <v>650</v>
      </c>
    </row>
    <row r="31" spans="1:12" ht="15" thickBot="1" x14ac:dyDescent="0.35">
      <c r="A31" s="3">
        <v>1030</v>
      </c>
      <c r="B31" s="2" t="s">
        <v>45</v>
      </c>
      <c r="C31" s="2" t="s">
        <v>11</v>
      </c>
      <c r="D31" s="2" t="s">
        <v>12</v>
      </c>
      <c r="E31" s="1">
        <v>32</v>
      </c>
      <c r="F31" s="1">
        <v>10</v>
      </c>
      <c r="G31" s="4">
        <v>45335</v>
      </c>
      <c r="H31">
        <f>(Table1[[#This Row],[Quantity]]*Table1[[#This Row],[UnitPrice]])</f>
        <v>320</v>
      </c>
    </row>
    <row r="32" spans="1:12" ht="15" thickBot="1" x14ac:dyDescent="0.35">
      <c r="A32" s="3">
        <v>1031</v>
      </c>
      <c r="B32" s="2" t="s">
        <v>46</v>
      </c>
      <c r="C32" s="2" t="s">
        <v>14</v>
      </c>
      <c r="D32" s="2" t="s">
        <v>15</v>
      </c>
      <c r="E32" s="1">
        <v>10</v>
      </c>
      <c r="F32" s="1">
        <v>25</v>
      </c>
      <c r="G32" s="4">
        <v>45336</v>
      </c>
      <c r="H32">
        <f>(Table1[[#This Row],[Quantity]]*Table1[[#This Row],[UnitPrice]])</f>
        <v>250</v>
      </c>
    </row>
    <row r="33" spans="1:8" ht="15" thickBot="1" x14ac:dyDescent="0.35">
      <c r="A33" s="3">
        <v>1032</v>
      </c>
      <c r="B33" s="2" t="s">
        <v>47</v>
      </c>
      <c r="C33" s="2" t="s">
        <v>17</v>
      </c>
      <c r="D33" s="2" t="s">
        <v>19</v>
      </c>
      <c r="E33" s="1">
        <v>18</v>
      </c>
      <c r="F33" s="1">
        <v>5</v>
      </c>
      <c r="G33" s="4">
        <v>45338</v>
      </c>
      <c r="H33">
        <f>(Table1[[#This Row],[Quantity]]*Table1[[#This Row],[UnitPrice]])</f>
        <v>90</v>
      </c>
    </row>
    <row r="34" spans="1:8" ht="15" thickBot="1" x14ac:dyDescent="0.35">
      <c r="A34" s="3">
        <v>1033</v>
      </c>
      <c r="B34" s="2" t="s">
        <v>48</v>
      </c>
      <c r="C34" s="2" t="s">
        <v>8</v>
      </c>
      <c r="D34" s="2" t="s">
        <v>22</v>
      </c>
      <c r="E34" s="1">
        <v>22</v>
      </c>
      <c r="F34" s="1">
        <v>8</v>
      </c>
      <c r="G34" s="4">
        <v>45339</v>
      </c>
      <c r="H34">
        <f>(Table1[[#This Row],[Quantity]]*Table1[[#This Row],[UnitPrice]])</f>
        <v>176</v>
      </c>
    </row>
    <row r="35" spans="1:8" ht="15" thickBot="1" x14ac:dyDescent="0.35">
      <c r="A35" s="3">
        <v>1034</v>
      </c>
      <c r="B35" s="2" t="s">
        <v>49</v>
      </c>
      <c r="C35" s="2" t="s">
        <v>11</v>
      </c>
      <c r="D35" s="2" t="s">
        <v>9</v>
      </c>
      <c r="E35" s="1">
        <v>17</v>
      </c>
      <c r="F35" s="1">
        <v>50</v>
      </c>
      <c r="G35" s="4">
        <v>45340</v>
      </c>
      <c r="H35">
        <f>(Table1[[#This Row],[Quantity]]*Table1[[#This Row],[UnitPrice]])</f>
        <v>850</v>
      </c>
    </row>
    <row r="36" spans="1:8" ht="15" thickBot="1" x14ac:dyDescent="0.35">
      <c r="A36" s="3">
        <v>1035</v>
      </c>
      <c r="B36" s="2" t="s">
        <v>50</v>
      </c>
      <c r="C36" s="2" t="s">
        <v>14</v>
      </c>
      <c r="D36" s="2" t="s">
        <v>12</v>
      </c>
      <c r="E36" s="1">
        <v>19</v>
      </c>
      <c r="F36" s="1">
        <v>10</v>
      </c>
      <c r="G36" s="4">
        <v>45341</v>
      </c>
      <c r="H36">
        <f>(Table1[[#This Row],[Quantity]]*Table1[[#This Row],[UnitPrice]])</f>
        <v>190</v>
      </c>
    </row>
    <row r="37" spans="1:8" ht="15" thickBot="1" x14ac:dyDescent="0.35">
      <c r="A37" s="3">
        <v>1036</v>
      </c>
      <c r="B37" s="2" t="s">
        <v>51</v>
      </c>
      <c r="C37" s="2" t="s">
        <v>17</v>
      </c>
      <c r="D37" s="2" t="s">
        <v>15</v>
      </c>
      <c r="E37" s="1">
        <v>15</v>
      </c>
      <c r="F37" s="1">
        <v>25</v>
      </c>
      <c r="G37" s="4">
        <v>45343</v>
      </c>
      <c r="H37">
        <f>(Table1[[#This Row],[Quantity]]*Table1[[#This Row],[UnitPrice]])</f>
        <v>375</v>
      </c>
    </row>
    <row r="38" spans="1:8" ht="15" thickBot="1" x14ac:dyDescent="0.35">
      <c r="A38" s="3">
        <v>1037</v>
      </c>
      <c r="B38" s="2" t="s">
        <v>52</v>
      </c>
      <c r="C38" s="2" t="s">
        <v>8</v>
      </c>
      <c r="D38" s="2" t="s">
        <v>19</v>
      </c>
      <c r="E38" s="1">
        <v>28</v>
      </c>
      <c r="F38" s="1">
        <v>5</v>
      </c>
      <c r="G38" s="4">
        <v>45344</v>
      </c>
      <c r="H38">
        <f>(Table1[[#This Row],[Quantity]]*Table1[[#This Row],[UnitPrice]])</f>
        <v>140</v>
      </c>
    </row>
    <row r="39" spans="1:8" ht="15" thickBot="1" x14ac:dyDescent="0.35">
      <c r="A39" s="3">
        <v>1038</v>
      </c>
      <c r="B39" s="2" t="s">
        <v>53</v>
      </c>
      <c r="C39" s="2" t="s">
        <v>11</v>
      </c>
      <c r="D39" s="2" t="s">
        <v>22</v>
      </c>
      <c r="E39" s="1">
        <v>24</v>
      </c>
      <c r="F39" s="1">
        <v>8</v>
      </c>
      <c r="G39" s="4">
        <v>45345</v>
      </c>
      <c r="H39">
        <f>(Table1[[#This Row],[Quantity]]*Table1[[#This Row],[UnitPrice]])</f>
        <v>192</v>
      </c>
    </row>
    <row r="40" spans="1:8" ht="15" thickBot="1" x14ac:dyDescent="0.35">
      <c r="A40" s="3">
        <v>1039</v>
      </c>
      <c r="B40" s="2" t="s">
        <v>54</v>
      </c>
      <c r="C40" s="2" t="s">
        <v>14</v>
      </c>
      <c r="D40" s="2" t="s">
        <v>9</v>
      </c>
      <c r="E40" s="1">
        <v>16</v>
      </c>
      <c r="F40" s="1">
        <v>50</v>
      </c>
      <c r="G40" s="4">
        <v>45347</v>
      </c>
      <c r="H40">
        <f>(Table1[[#This Row],[Quantity]]*Table1[[#This Row],[UnitPrice]])</f>
        <v>800</v>
      </c>
    </row>
    <row r="41" spans="1:8" ht="15" thickBot="1" x14ac:dyDescent="0.35">
      <c r="A41" s="3">
        <v>1040</v>
      </c>
      <c r="B41" s="2" t="s">
        <v>55</v>
      </c>
      <c r="C41" s="2" t="s">
        <v>17</v>
      </c>
      <c r="D41" s="2" t="s">
        <v>12</v>
      </c>
      <c r="E41" s="1">
        <v>27</v>
      </c>
      <c r="F41" s="1">
        <v>10</v>
      </c>
      <c r="G41" s="4">
        <v>45348</v>
      </c>
      <c r="H41">
        <f>(Table1[[#This Row],[Quantity]]*Table1[[#This Row],[UnitPrice]])</f>
        <v>270</v>
      </c>
    </row>
    <row r="42" spans="1:8" ht="15" thickBot="1" x14ac:dyDescent="0.35">
      <c r="A42" s="3">
        <v>1041</v>
      </c>
      <c r="B42" s="2" t="s">
        <v>56</v>
      </c>
      <c r="C42" s="2" t="s">
        <v>8</v>
      </c>
      <c r="D42" s="2" t="s">
        <v>15</v>
      </c>
      <c r="E42" s="1">
        <v>21</v>
      </c>
      <c r="F42" s="1">
        <v>25</v>
      </c>
      <c r="G42" s="4">
        <v>45349</v>
      </c>
      <c r="H42">
        <f>(Table1[[#This Row],[Quantity]]*Table1[[#This Row],[UnitPrice]])</f>
        <v>525</v>
      </c>
    </row>
    <row r="43" spans="1:8" ht="15" thickBot="1" x14ac:dyDescent="0.35">
      <c r="A43" s="3">
        <v>1042</v>
      </c>
      <c r="B43" s="2" t="s">
        <v>57</v>
      </c>
      <c r="C43" s="2" t="s">
        <v>11</v>
      </c>
      <c r="D43" s="2" t="s">
        <v>19</v>
      </c>
      <c r="E43" s="1">
        <v>30</v>
      </c>
      <c r="F43" s="1">
        <v>5</v>
      </c>
      <c r="G43" s="4">
        <v>45350</v>
      </c>
      <c r="H43">
        <f>(Table1[[#This Row],[Quantity]]*Table1[[#This Row],[UnitPrice]])</f>
        <v>150</v>
      </c>
    </row>
    <row r="44" spans="1:8" ht="15" thickBot="1" x14ac:dyDescent="0.35">
      <c r="A44" s="3">
        <v>1043</v>
      </c>
      <c r="B44" s="2" t="s">
        <v>58</v>
      </c>
      <c r="C44" s="2" t="s">
        <v>14</v>
      </c>
      <c r="D44" s="2" t="s">
        <v>22</v>
      </c>
      <c r="E44" s="1">
        <v>26</v>
      </c>
      <c r="F44" s="1">
        <v>8</v>
      </c>
      <c r="G44" s="4">
        <v>45352</v>
      </c>
      <c r="H44">
        <f>(Table1[[#This Row],[Quantity]]*Table1[[#This Row],[UnitPrice]])</f>
        <v>208</v>
      </c>
    </row>
    <row r="45" spans="1:8" ht="15" thickBot="1" x14ac:dyDescent="0.35">
      <c r="A45" s="3">
        <v>1044</v>
      </c>
      <c r="B45" s="2" t="s">
        <v>59</v>
      </c>
      <c r="C45" s="2" t="s">
        <v>17</v>
      </c>
      <c r="D45" s="2" t="s">
        <v>9</v>
      </c>
      <c r="E45" s="1">
        <v>14</v>
      </c>
      <c r="F45" s="1">
        <v>50</v>
      </c>
      <c r="G45" s="4">
        <v>45353</v>
      </c>
      <c r="H45">
        <f>(Table1[[#This Row],[Quantity]]*Table1[[#This Row],[UnitPrice]])</f>
        <v>700</v>
      </c>
    </row>
    <row r="46" spans="1:8" ht="15" thickBot="1" x14ac:dyDescent="0.35">
      <c r="A46" s="3">
        <v>1045</v>
      </c>
      <c r="B46" s="2" t="s">
        <v>60</v>
      </c>
      <c r="C46" s="2" t="s">
        <v>8</v>
      </c>
      <c r="D46" s="2" t="s">
        <v>12</v>
      </c>
      <c r="E46" s="1">
        <v>20</v>
      </c>
      <c r="F46" s="1">
        <v>10</v>
      </c>
      <c r="G46" s="4">
        <v>45354</v>
      </c>
      <c r="H46">
        <f>(Table1[[#This Row],[Quantity]]*Table1[[#This Row],[UnitPrice]])</f>
        <v>200</v>
      </c>
    </row>
    <row r="47" spans="1:8" ht="15" thickBot="1" x14ac:dyDescent="0.35">
      <c r="A47" s="3">
        <v>1046</v>
      </c>
      <c r="B47" s="2" t="s">
        <v>61</v>
      </c>
      <c r="C47" s="2" t="s">
        <v>11</v>
      </c>
      <c r="D47" s="2" t="s">
        <v>15</v>
      </c>
      <c r="E47" s="1">
        <v>17</v>
      </c>
      <c r="F47" s="1">
        <v>25</v>
      </c>
      <c r="G47" s="4">
        <v>45355</v>
      </c>
      <c r="H47">
        <f>(Table1[[#This Row],[Quantity]]*Table1[[#This Row],[UnitPrice]])</f>
        <v>425</v>
      </c>
    </row>
    <row r="48" spans="1:8" ht="15" thickBot="1" x14ac:dyDescent="0.35">
      <c r="A48" s="3">
        <v>1047</v>
      </c>
      <c r="B48" s="2" t="s">
        <v>62</v>
      </c>
      <c r="C48" s="2" t="s">
        <v>14</v>
      </c>
      <c r="D48" s="2" t="s">
        <v>19</v>
      </c>
      <c r="E48" s="1">
        <v>19</v>
      </c>
      <c r="F48" s="1">
        <v>5</v>
      </c>
      <c r="G48" s="4">
        <v>45356</v>
      </c>
      <c r="H48">
        <f>(Table1[[#This Row],[Quantity]]*Table1[[#This Row],[UnitPrice]])</f>
        <v>95</v>
      </c>
    </row>
    <row r="49" spans="1:8" ht="15" thickBot="1" x14ac:dyDescent="0.35">
      <c r="A49" s="3">
        <v>1048</v>
      </c>
      <c r="B49" s="2" t="s">
        <v>63</v>
      </c>
      <c r="C49" s="2" t="s">
        <v>17</v>
      </c>
      <c r="D49" s="2" t="s">
        <v>22</v>
      </c>
      <c r="E49" s="1">
        <v>32</v>
      </c>
      <c r="F49" s="1">
        <v>8</v>
      </c>
      <c r="G49" s="4">
        <v>45357</v>
      </c>
      <c r="H49">
        <f>(Table1[[#This Row],[Quantity]]*Table1[[#This Row],[UnitPrice]])</f>
        <v>256</v>
      </c>
    </row>
    <row r="50" spans="1:8" ht="15" thickBot="1" x14ac:dyDescent="0.35">
      <c r="A50" s="3">
        <v>1049</v>
      </c>
      <c r="B50" s="2" t="s">
        <v>64</v>
      </c>
      <c r="C50" s="2" t="s">
        <v>8</v>
      </c>
      <c r="D50" s="2" t="s">
        <v>9</v>
      </c>
      <c r="E50" s="1">
        <v>12</v>
      </c>
      <c r="F50" s="1">
        <v>50</v>
      </c>
      <c r="G50" s="4">
        <v>45358</v>
      </c>
      <c r="H50">
        <f>(Table1[[#This Row],[Quantity]]*Table1[[#This Row],[UnitPrice]])</f>
        <v>600</v>
      </c>
    </row>
    <row r="51" spans="1:8" x14ac:dyDescent="0.3">
      <c r="A51" s="8">
        <v>1050</v>
      </c>
      <c r="B51" s="9" t="s">
        <v>65</v>
      </c>
      <c r="C51" s="9" t="s">
        <v>11</v>
      </c>
      <c r="D51" s="9" t="s">
        <v>12</v>
      </c>
      <c r="E51" s="10">
        <v>25</v>
      </c>
      <c r="F51" s="10">
        <v>10</v>
      </c>
      <c r="G51" s="11">
        <v>45359</v>
      </c>
      <c r="H51">
        <f>(Table1[[#This Row],[Quantity]]*Table1[[#This Row],[UnitPrice]])</f>
        <v>250</v>
      </c>
    </row>
  </sheetData>
  <mergeCells count="5">
    <mergeCell ref="I2:M2"/>
    <mergeCell ref="I3:L3"/>
    <mergeCell ref="I4:M4"/>
    <mergeCell ref="I5:M5"/>
    <mergeCell ref="I21:L21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450E-E075-49C5-B832-BEFC1C858C22}">
  <dimension ref="A1:H8"/>
  <sheetViews>
    <sheetView workbookViewId="0">
      <selection activeCell="F7" sqref="F7"/>
    </sheetView>
  </sheetViews>
  <sheetFormatPr defaultRowHeight="14.4" x14ac:dyDescent="0.3"/>
  <cols>
    <col min="1" max="1" width="20.77734375" customWidth="1"/>
    <col min="2" max="2" width="19.21875" customWidth="1"/>
  </cols>
  <sheetData>
    <row r="1" spans="1:8" x14ac:dyDescent="0.3">
      <c r="A1" s="15" t="s">
        <v>87</v>
      </c>
      <c r="B1" s="15"/>
      <c r="C1" s="15"/>
      <c r="D1" s="15"/>
      <c r="E1" s="15"/>
      <c r="F1" s="15"/>
      <c r="G1" s="15"/>
      <c r="H1" s="15"/>
    </row>
    <row r="2" spans="1:8" x14ac:dyDescent="0.3">
      <c r="A2" s="16" t="s">
        <v>88</v>
      </c>
    </row>
    <row r="3" spans="1:8" x14ac:dyDescent="0.3">
      <c r="A3" t="s">
        <v>79</v>
      </c>
      <c r="B3" t="s">
        <v>80</v>
      </c>
      <c r="C3" t="s">
        <v>86</v>
      </c>
    </row>
    <row r="4" spans="1:8" x14ac:dyDescent="0.3">
      <c r="A4" t="s">
        <v>85</v>
      </c>
      <c r="B4">
        <v>45</v>
      </c>
      <c r="C4" t="str">
        <f>IF(Table5[[#This Row],[Marks]]&gt;=40,"Pass","Fail")</f>
        <v>Pass</v>
      </c>
    </row>
    <row r="5" spans="1:8" x14ac:dyDescent="0.3">
      <c r="A5" t="s">
        <v>84</v>
      </c>
      <c r="B5">
        <v>72</v>
      </c>
      <c r="C5" t="str">
        <f>IF(Table5[[#This Row],[Marks]]&gt;=40,"Pass","Fail")</f>
        <v>Pass</v>
      </c>
    </row>
    <row r="6" spans="1:8" x14ac:dyDescent="0.3">
      <c r="A6" s="14" t="s">
        <v>83</v>
      </c>
      <c r="B6" s="14">
        <v>55</v>
      </c>
      <c r="C6" s="14" t="str">
        <f>IF(Table5[[#This Row],[Marks]]&gt;=40,"Pass","Fail")</f>
        <v>Pass</v>
      </c>
      <c r="D6" s="14"/>
      <c r="E6" s="14"/>
      <c r="F6" s="14"/>
      <c r="G6" s="14"/>
    </row>
    <row r="7" spans="1:8" x14ac:dyDescent="0.3">
      <c r="A7" t="s">
        <v>82</v>
      </c>
      <c r="B7" s="14">
        <v>80</v>
      </c>
      <c r="C7" t="str">
        <f>IF(Table5[[#This Row],[Marks]]&gt;=40,"Pass","Fail")</f>
        <v>Pass</v>
      </c>
    </row>
    <row r="8" spans="1:8" x14ac:dyDescent="0.3">
      <c r="A8" t="s">
        <v>81</v>
      </c>
      <c r="B8" s="14">
        <v>30</v>
      </c>
      <c r="C8" t="str">
        <f>IF(Table5[[#This Row],[Marks]]&gt;=40,"Pass","Fail")</f>
        <v>Fail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vaibhaav waghmare</dc:creator>
  <cp:lastModifiedBy>vaibhaav waghmare</cp:lastModifiedBy>
  <dcterms:created xsi:type="dcterms:W3CDTF">2026-02-17T14:17:56Z</dcterms:created>
  <dcterms:modified xsi:type="dcterms:W3CDTF">2026-02-17T16:33:00Z</dcterms:modified>
</cp:coreProperties>
</file>